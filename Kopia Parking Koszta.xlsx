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znes" sheetId="1" r:id="rId5"/>
    <sheet state="visible" name="Maj 2025" sheetId="2" r:id="rId6"/>
    <sheet state="visible" name="Czerwiec 2025" sheetId="3" r:id="rId7"/>
    <sheet state="visible" name="Lipiec 2025" sheetId="4" r:id="rId8"/>
    <sheet state="visible" name="Sierpień 2025" sheetId="5" r:id="rId9"/>
  </sheets>
  <definedNames/>
  <calcPr/>
</workbook>
</file>

<file path=xl/sharedStrings.xml><?xml version="1.0" encoding="utf-8"?>
<sst xmlns="http://schemas.openxmlformats.org/spreadsheetml/2006/main" count="90" uniqueCount="36">
  <si>
    <t xml:space="preserve">Parking </t>
  </si>
  <si>
    <t>Koszt Uruchomienia</t>
  </si>
  <si>
    <t>Bilans</t>
  </si>
  <si>
    <t>Kaso-Terminal</t>
  </si>
  <si>
    <t>Castoramoa</t>
  </si>
  <si>
    <t>Czerwiec 2025</t>
  </si>
  <si>
    <t>IPOS</t>
  </si>
  <si>
    <t>Lipiec 2025</t>
  </si>
  <si>
    <t>SODA</t>
  </si>
  <si>
    <t>Sierpień 2025</t>
  </si>
  <si>
    <t xml:space="preserve">Faktura Szczepan </t>
  </si>
  <si>
    <t>Makro</t>
  </si>
  <si>
    <t>ZUS</t>
  </si>
  <si>
    <t>Księgowość</t>
  </si>
  <si>
    <t>Łączny Koszt</t>
  </si>
  <si>
    <t>Bilans 2025</t>
  </si>
  <si>
    <t xml:space="preserve">Wydatki </t>
  </si>
  <si>
    <t>Przychody</t>
  </si>
  <si>
    <t>Nazwa</t>
  </si>
  <si>
    <t>Ile</t>
  </si>
  <si>
    <t>Śr. Ilosc aut</t>
  </si>
  <si>
    <t xml:space="preserve">Księgowość </t>
  </si>
  <si>
    <t xml:space="preserve">Zus </t>
  </si>
  <si>
    <t>Podatek PIT</t>
  </si>
  <si>
    <t>Podatek VAT</t>
  </si>
  <si>
    <t>Castorama</t>
  </si>
  <si>
    <t>POS</t>
  </si>
  <si>
    <t>Terminal</t>
  </si>
  <si>
    <t>Telefon</t>
  </si>
  <si>
    <t>Razem</t>
  </si>
  <si>
    <t>BIlans</t>
  </si>
  <si>
    <t>Leroy-Merlin</t>
  </si>
  <si>
    <t>etui</t>
  </si>
  <si>
    <t>soda</t>
  </si>
  <si>
    <t xml:space="preserve">Konto </t>
  </si>
  <si>
    <t>Suma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</si>
</sst>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zł-415]"/>
    <numFmt numFmtId="165" formatCode="mmm yyyy"/>
    <numFmt numFmtId="166" formatCode="yyyy-MM-dd"/>
    <numFmt numFmtId="167" formatCode="yyyy-mm-dd"/>
    <numFmt numFmtId="168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Font="1" applyNumberForma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166" xfId="0" applyAlignment="1" applyBorder="1" applyFont="1" applyNumberFormat="1">
      <alignment horizontal="center" readingOrder="0"/>
    </xf>
    <xf borderId="4" fillId="0" fontId="1" numFmtId="4" xfId="0" applyAlignment="1" applyBorder="1" applyFont="1" applyNumberFormat="1">
      <alignment horizontal="center"/>
    </xf>
    <xf borderId="4" fillId="0" fontId="1" numFmtId="4" xfId="0" applyAlignment="1" applyBorder="1" applyFont="1" applyNumberFormat="1">
      <alignment horizontal="center" readingOrder="0"/>
    </xf>
    <xf borderId="4" fillId="0" fontId="1" numFmtId="167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9.0"/>
    <col customWidth="1" min="3" max="3" width="20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1" t="s">
        <v>1</v>
      </c>
      <c r="B2" s="3"/>
      <c r="C2" s="4"/>
      <c r="D2" s="1" t="s">
        <v>2</v>
      </c>
      <c r="E2" s="2"/>
      <c r="F2" s="2"/>
      <c r="G2" s="3"/>
      <c r="H2" s="5"/>
      <c r="I2" s="5"/>
      <c r="J2" s="5"/>
    </row>
    <row r="3">
      <c r="A3" s="6" t="s">
        <v>3</v>
      </c>
      <c r="B3" s="7">
        <v>2212.77</v>
      </c>
      <c r="C3" s="5"/>
      <c r="D3" s="8">
        <v>45778.0</v>
      </c>
      <c r="E3" s="3"/>
      <c r="F3" s="9">
        <f>'Maj 2025'!F17</f>
        <v>-629.6</v>
      </c>
      <c r="G3" s="3"/>
      <c r="H3" s="5"/>
      <c r="I3" s="5"/>
      <c r="J3" s="5"/>
    </row>
    <row r="4">
      <c r="A4" s="6" t="s">
        <v>4</v>
      </c>
      <c r="B4" s="7">
        <v>200.0</v>
      </c>
      <c r="C4" s="5"/>
      <c r="D4" s="1" t="s">
        <v>5</v>
      </c>
      <c r="E4" s="3"/>
      <c r="F4" s="9">
        <f>'Czerwiec 2025'!F17</f>
        <v>2067.93</v>
      </c>
      <c r="G4" s="3"/>
      <c r="H4" s="5"/>
      <c r="I4" s="5"/>
      <c r="J4" s="5"/>
    </row>
    <row r="5">
      <c r="A5" s="6" t="s">
        <v>6</v>
      </c>
      <c r="B5" s="7">
        <v>121.77</v>
      </c>
      <c r="C5" s="5"/>
      <c r="D5" s="1" t="s">
        <v>7</v>
      </c>
      <c r="E5" s="3"/>
      <c r="F5" s="9">
        <f>'Lipiec 2025'!F17</f>
        <v>2628.73</v>
      </c>
      <c r="G5" s="3"/>
      <c r="H5" s="5"/>
      <c r="I5" s="5"/>
      <c r="J5" s="5"/>
    </row>
    <row r="6">
      <c r="A6" s="6" t="s">
        <v>8</v>
      </c>
      <c r="B6" s="7">
        <v>178.8</v>
      </c>
      <c r="C6" s="5"/>
      <c r="D6" s="1" t="s">
        <v>9</v>
      </c>
      <c r="E6" s="3"/>
      <c r="F6" s="9">
        <f>'Sierpień 2025'!F17</f>
        <v>7016.73</v>
      </c>
      <c r="G6" s="3"/>
      <c r="H6" s="5"/>
      <c r="I6" s="5"/>
      <c r="J6" s="5"/>
    </row>
    <row r="7">
      <c r="A7" s="6" t="s">
        <v>10</v>
      </c>
      <c r="B7" s="7">
        <v>13.58</v>
      </c>
      <c r="C7" s="5"/>
      <c r="D7" s="1"/>
      <c r="E7" s="3"/>
      <c r="F7" s="10"/>
      <c r="G7" s="3"/>
      <c r="H7" s="5"/>
      <c r="I7" s="5"/>
      <c r="J7" s="5"/>
    </row>
    <row r="8">
      <c r="A8" s="6" t="s">
        <v>11</v>
      </c>
      <c r="B8" s="7">
        <v>85.68</v>
      </c>
      <c r="C8" s="5"/>
      <c r="D8" s="10"/>
      <c r="E8" s="3"/>
      <c r="F8" s="10"/>
      <c r="G8" s="3"/>
      <c r="H8" s="5"/>
      <c r="I8" s="5"/>
      <c r="J8" s="5"/>
    </row>
    <row r="9">
      <c r="A9" s="6" t="s">
        <v>11</v>
      </c>
      <c r="B9" s="7">
        <v>43.14</v>
      </c>
      <c r="C9" s="5"/>
      <c r="D9" s="10"/>
      <c r="E9" s="3"/>
      <c r="F9" s="10"/>
      <c r="G9" s="3"/>
      <c r="H9" s="5"/>
      <c r="I9" s="5"/>
      <c r="J9" s="5"/>
    </row>
    <row r="10">
      <c r="A10" s="6" t="s">
        <v>12</v>
      </c>
      <c r="B10" s="7">
        <v>466.11</v>
      </c>
      <c r="C10" s="5"/>
      <c r="D10" s="10"/>
      <c r="E10" s="3"/>
      <c r="F10" s="10"/>
      <c r="G10" s="3"/>
      <c r="H10" s="5"/>
      <c r="I10" s="5"/>
      <c r="J10" s="5"/>
    </row>
    <row r="11">
      <c r="A11" s="6" t="s">
        <v>13</v>
      </c>
      <c r="B11" s="7">
        <v>320.0</v>
      </c>
      <c r="C11" s="5"/>
      <c r="D11" s="10"/>
      <c r="E11" s="3"/>
      <c r="F11" s="10"/>
      <c r="G11" s="3"/>
      <c r="H11" s="5"/>
      <c r="I11" s="5"/>
      <c r="J11" s="5"/>
    </row>
    <row r="12">
      <c r="A12" s="11"/>
      <c r="B12" s="12"/>
      <c r="C12" s="5"/>
      <c r="D12" s="10"/>
      <c r="E12" s="3"/>
      <c r="F12" s="10"/>
      <c r="G12" s="3"/>
      <c r="H12" s="5"/>
      <c r="I12" s="5"/>
      <c r="J12" s="5"/>
    </row>
    <row r="13">
      <c r="A13" s="6" t="s">
        <v>14</v>
      </c>
      <c r="B13" s="7">
        <f>SUM(B3:B12)</f>
        <v>3641.85</v>
      </c>
      <c r="C13" s="5"/>
      <c r="D13" s="1" t="s">
        <v>15</v>
      </c>
      <c r="E13" s="3"/>
      <c r="F13" s="9">
        <f>SUM(F3:G7)-B13</f>
        <v>7441.94</v>
      </c>
      <c r="G13" s="3"/>
      <c r="H13" s="5"/>
      <c r="I13" s="5"/>
      <c r="J13" s="5"/>
    </row>
    <row r="14">
      <c r="A14" s="5"/>
      <c r="B14" s="13"/>
      <c r="C14" s="5"/>
      <c r="D14" s="5"/>
      <c r="E14" s="5"/>
      <c r="F14" s="5"/>
      <c r="G14" s="5"/>
      <c r="H14" s="5"/>
      <c r="I14" s="5"/>
      <c r="J14" s="5"/>
    </row>
    <row r="15">
      <c r="A15" s="5"/>
      <c r="B15" s="13"/>
      <c r="C15" s="5"/>
      <c r="D15" s="5"/>
      <c r="E15" s="5"/>
      <c r="F15" s="5"/>
      <c r="G15" s="5"/>
      <c r="H15" s="5"/>
      <c r="I15" s="5"/>
      <c r="J15" s="5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</sheetData>
  <mergeCells count="25">
    <mergeCell ref="A1:J1"/>
    <mergeCell ref="A2:B2"/>
    <mergeCell ref="D2:G2"/>
    <mergeCell ref="D3:E3"/>
    <mergeCell ref="F3:G3"/>
    <mergeCell ref="D4:E4"/>
    <mergeCell ref="F4:G4"/>
    <mergeCell ref="D8:E8"/>
    <mergeCell ref="D9:E9"/>
    <mergeCell ref="D10:E10"/>
    <mergeCell ref="D11:E11"/>
    <mergeCell ref="D12:E12"/>
    <mergeCell ref="D13:E13"/>
    <mergeCell ref="F9:G9"/>
    <mergeCell ref="F10:G10"/>
    <mergeCell ref="F11:G11"/>
    <mergeCell ref="F12:G12"/>
    <mergeCell ref="F13:G13"/>
    <mergeCell ref="D5:E5"/>
    <mergeCell ref="F5:G5"/>
    <mergeCell ref="D6:E6"/>
    <mergeCell ref="F6:G6"/>
    <mergeCell ref="D7:E7"/>
    <mergeCell ref="F7:G7"/>
    <mergeCell ref="F8:G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16</v>
      </c>
      <c r="B1" s="2"/>
      <c r="C1" s="3"/>
      <c r="E1" s="1" t="s">
        <v>17</v>
      </c>
      <c r="F1" s="2"/>
      <c r="G1" s="3"/>
    </row>
    <row r="2">
      <c r="A2" s="15" t="s">
        <v>18</v>
      </c>
      <c r="B2" s="15" t="s">
        <v>19</v>
      </c>
      <c r="C2" s="16"/>
      <c r="E2" s="15" t="s">
        <v>18</v>
      </c>
      <c r="F2" s="15" t="s">
        <v>19</v>
      </c>
      <c r="G2" s="15" t="s">
        <v>20</v>
      </c>
    </row>
    <row r="3">
      <c r="A3" s="6" t="s">
        <v>21</v>
      </c>
      <c r="B3" s="7">
        <v>320.0</v>
      </c>
      <c r="C3" s="11"/>
      <c r="D3" s="5"/>
      <c r="E3" s="17">
        <v>45778.0</v>
      </c>
      <c r="F3" s="7">
        <v>336.0</v>
      </c>
      <c r="G3" s="18">
        <f t="shared" ref="G3:G8" si="1">F3/20</f>
        <v>16.8</v>
      </c>
      <c r="H3" s="7"/>
    </row>
    <row r="4">
      <c r="A4" s="6" t="s">
        <v>22</v>
      </c>
      <c r="B4" s="7">
        <v>466.11</v>
      </c>
      <c r="C4" s="11"/>
      <c r="D4" s="5"/>
      <c r="E4" s="17">
        <v>45779.0</v>
      </c>
      <c r="F4" s="7">
        <v>50.0</v>
      </c>
      <c r="G4" s="18">
        <f t="shared" si="1"/>
        <v>2.5</v>
      </c>
    </row>
    <row r="5">
      <c r="A5" s="6" t="s">
        <v>23</v>
      </c>
      <c r="B5" s="7">
        <v>18.0</v>
      </c>
      <c r="C5" s="11"/>
      <c r="D5" s="5"/>
      <c r="E5" s="17">
        <v>45780.0</v>
      </c>
      <c r="F5" s="7">
        <v>135.0</v>
      </c>
      <c r="G5" s="18">
        <f t="shared" si="1"/>
        <v>6.75</v>
      </c>
    </row>
    <row r="6">
      <c r="A6" s="6" t="s">
        <v>24</v>
      </c>
      <c r="B6" s="7">
        <v>0.0</v>
      </c>
      <c r="C6" s="11"/>
      <c r="D6" s="5"/>
      <c r="E6" s="17">
        <v>45801.0</v>
      </c>
      <c r="F6" s="7">
        <v>10.0</v>
      </c>
      <c r="G6" s="18">
        <f t="shared" si="1"/>
        <v>0.5</v>
      </c>
    </row>
    <row r="7">
      <c r="A7" s="6" t="s">
        <v>25</v>
      </c>
      <c r="B7" s="7">
        <v>147.92</v>
      </c>
      <c r="C7" s="11"/>
      <c r="D7" s="5"/>
      <c r="E7" s="17">
        <v>45802.0</v>
      </c>
      <c r="F7" s="7">
        <v>20.0</v>
      </c>
      <c r="G7" s="18">
        <f t="shared" si="1"/>
        <v>1</v>
      </c>
    </row>
    <row r="8">
      <c r="A8" s="6" t="s">
        <v>26</v>
      </c>
      <c r="B8" s="7">
        <v>72.57</v>
      </c>
      <c r="C8" s="11"/>
      <c r="D8" s="5"/>
      <c r="E8" s="17">
        <v>45807.0</v>
      </c>
      <c r="F8" s="7">
        <v>20.0</v>
      </c>
      <c r="G8" s="18">
        <f t="shared" si="1"/>
        <v>1</v>
      </c>
    </row>
    <row r="9">
      <c r="A9" s="6" t="s">
        <v>27</v>
      </c>
      <c r="B9" s="7">
        <v>78.0</v>
      </c>
      <c r="C9" s="11"/>
      <c r="D9" s="5"/>
      <c r="E9" s="17"/>
      <c r="F9" s="7"/>
      <c r="G9" s="11"/>
    </row>
    <row r="10">
      <c r="A10" s="6" t="s">
        <v>28</v>
      </c>
      <c r="B10" s="7">
        <v>98.0</v>
      </c>
      <c r="C10" s="11"/>
      <c r="D10" s="5"/>
      <c r="E10" s="17"/>
      <c r="F10" s="7"/>
      <c r="G10" s="11"/>
    </row>
    <row r="11">
      <c r="A11" s="11"/>
      <c r="B11" s="12"/>
      <c r="C11" s="11"/>
      <c r="D11" s="5"/>
      <c r="E11" s="17"/>
      <c r="F11" s="12"/>
      <c r="G11" s="11"/>
    </row>
    <row r="12">
      <c r="A12" s="11"/>
      <c r="B12" s="12"/>
      <c r="C12" s="11"/>
      <c r="D12" s="5"/>
      <c r="E12" s="17"/>
      <c r="F12" s="12"/>
      <c r="G12" s="11"/>
    </row>
    <row r="13">
      <c r="A13" s="11"/>
      <c r="B13" s="12"/>
      <c r="C13" s="11"/>
      <c r="D13" s="5"/>
      <c r="E13" s="17"/>
      <c r="F13" s="12"/>
      <c r="G13" s="11"/>
    </row>
    <row r="14">
      <c r="A14" s="11"/>
      <c r="B14" s="12"/>
      <c r="C14" s="11"/>
      <c r="D14" s="5"/>
      <c r="E14" s="17"/>
      <c r="F14" s="12"/>
      <c r="G14" s="11"/>
    </row>
    <row r="15">
      <c r="A15" s="11"/>
      <c r="B15" s="12"/>
      <c r="C15" s="11"/>
      <c r="D15" s="5"/>
      <c r="E15" s="17"/>
      <c r="F15" s="12"/>
      <c r="G15" s="11"/>
    </row>
    <row r="16">
      <c r="A16" s="6" t="s">
        <v>29</v>
      </c>
      <c r="B16" s="12">
        <f>SUM(B3:B10)</f>
        <v>1200.6</v>
      </c>
      <c r="C16" s="11"/>
      <c r="D16" s="5"/>
      <c r="E16" s="6" t="s">
        <v>29</v>
      </c>
      <c r="F16" s="12">
        <f>SUM(F3:F10)</f>
        <v>571</v>
      </c>
      <c r="G16" s="18">
        <f>SUM(G3:G8)</f>
        <v>28.55</v>
      </c>
    </row>
    <row r="17">
      <c r="A17" s="1" t="s">
        <v>30</v>
      </c>
      <c r="B17" s="2"/>
      <c r="C17" s="2"/>
      <c r="D17" s="2"/>
      <c r="E17" s="3"/>
      <c r="F17" s="7">
        <f>F16-B16</f>
        <v>-629.6</v>
      </c>
      <c r="G17" s="19">
        <f>AVERAGE(G3:G8)</f>
        <v>4.758333333</v>
      </c>
    </row>
  </sheetData>
  <mergeCells count="3">
    <mergeCell ref="A1:C1"/>
    <mergeCell ref="E1:G1"/>
    <mergeCell ref="A17:E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16</v>
      </c>
      <c r="B1" s="2"/>
      <c r="C1" s="3"/>
      <c r="E1" s="1" t="s">
        <v>17</v>
      </c>
      <c r="F1" s="2"/>
      <c r="G1" s="3"/>
    </row>
    <row r="2">
      <c r="A2" s="15" t="s">
        <v>18</v>
      </c>
      <c r="B2" s="15" t="s">
        <v>19</v>
      </c>
      <c r="C2" s="16"/>
      <c r="E2" s="15" t="s">
        <v>18</v>
      </c>
      <c r="F2" s="15" t="s">
        <v>19</v>
      </c>
      <c r="G2" s="16"/>
    </row>
    <row r="3">
      <c r="A3" s="6" t="s">
        <v>21</v>
      </c>
      <c r="B3" s="7">
        <v>320.0</v>
      </c>
      <c r="C3" s="11"/>
      <c r="D3" s="5"/>
      <c r="E3" s="17">
        <v>45809.0</v>
      </c>
      <c r="F3" s="7">
        <v>50.0</v>
      </c>
      <c r="G3" s="18">
        <f t="shared" ref="G3:G12" si="1">F3/20</f>
        <v>2.5</v>
      </c>
    </row>
    <row r="4">
      <c r="A4" s="6" t="s">
        <v>22</v>
      </c>
      <c r="B4" s="7">
        <v>466.11</v>
      </c>
      <c r="C4" s="11"/>
      <c r="D4" s="5"/>
      <c r="E4" s="17">
        <v>45816.0</v>
      </c>
      <c r="F4" s="7">
        <v>20.0</v>
      </c>
      <c r="G4" s="18">
        <f t="shared" si="1"/>
        <v>1</v>
      </c>
    </row>
    <row r="5">
      <c r="A5" s="6" t="s">
        <v>23</v>
      </c>
      <c r="B5" s="7">
        <v>214.0</v>
      </c>
      <c r="C5" s="11"/>
      <c r="D5" s="5"/>
      <c r="E5" s="17">
        <v>45822.0</v>
      </c>
      <c r="F5" s="7">
        <v>80.0</v>
      </c>
      <c r="G5" s="18">
        <f t="shared" si="1"/>
        <v>4</v>
      </c>
    </row>
    <row r="6">
      <c r="A6" s="6" t="s">
        <v>24</v>
      </c>
      <c r="B6" s="7">
        <v>0.0</v>
      </c>
      <c r="C6" s="11"/>
      <c r="D6" s="5"/>
      <c r="E6" s="17">
        <v>45823.0</v>
      </c>
      <c r="F6" s="7">
        <v>1755.0</v>
      </c>
      <c r="G6" s="18">
        <f t="shared" si="1"/>
        <v>87.75</v>
      </c>
    </row>
    <row r="7">
      <c r="A7" s="6" t="s">
        <v>31</v>
      </c>
      <c r="B7" s="7">
        <v>75.0</v>
      </c>
      <c r="C7" s="11"/>
      <c r="D7" s="5"/>
      <c r="E7" s="17">
        <v>45827.0</v>
      </c>
      <c r="F7" s="7">
        <v>20.0</v>
      </c>
      <c r="G7" s="18">
        <f t="shared" si="1"/>
        <v>1</v>
      </c>
    </row>
    <row r="8">
      <c r="A8" s="6" t="s">
        <v>26</v>
      </c>
      <c r="B8" s="7">
        <v>72.57</v>
      </c>
      <c r="C8" s="11"/>
      <c r="D8" s="5"/>
      <c r="E8" s="17">
        <v>45828.0</v>
      </c>
      <c r="F8" s="7">
        <v>128.0</v>
      </c>
      <c r="G8" s="18">
        <f t="shared" si="1"/>
        <v>6.4</v>
      </c>
    </row>
    <row r="9">
      <c r="A9" s="6" t="s">
        <v>27</v>
      </c>
      <c r="B9" s="7">
        <v>78.0</v>
      </c>
      <c r="C9" s="11"/>
      <c r="D9" s="5"/>
      <c r="E9" s="17">
        <v>45829.0</v>
      </c>
      <c r="F9" s="7">
        <v>465.0</v>
      </c>
      <c r="G9" s="18">
        <f t="shared" si="1"/>
        <v>23.25</v>
      </c>
    </row>
    <row r="10">
      <c r="A10" s="6" t="s">
        <v>28</v>
      </c>
      <c r="B10" s="7">
        <v>114.39</v>
      </c>
      <c r="C10" s="11"/>
      <c r="D10" s="5"/>
      <c r="E10" s="17">
        <v>45830.0</v>
      </c>
      <c r="F10" s="7">
        <v>810.0</v>
      </c>
      <c r="G10" s="18">
        <f t="shared" si="1"/>
        <v>40.5</v>
      </c>
    </row>
    <row r="11">
      <c r="A11" s="11"/>
      <c r="B11" s="12"/>
      <c r="C11" s="11"/>
      <c r="D11" s="5"/>
      <c r="E11" s="17">
        <v>45836.0</v>
      </c>
      <c r="F11" s="7">
        <v>20.0</v>
      </c>
      <c r="G11" s="18">
        <f t="shared" si="1"/>
        <v>1</v>
      </c>
    </row>
    <row r="12">
      <c r="A12" s="11"/>
      <c r="B12" s="12"/>
      <c r="C12" s="11"/>
      <c r="D12" s="5"/>
      <c r="E12" s="17">
        <v>45837.0</v>
      </c>
      <c r="F12" s="7">
        <v>60.0</v>
      </c>
      <c r="G12" s="18">
        <f t="shared" si="1"/>
        <v>3</v>
      </c>
    </row>
    <row r="13">
      <c r="A13" s="11"/>
      <c r="B13" s="12"/>
      <c r="C13" s="11"/>
      <c r="D13" s="5"/>
      <c r="E13" s="17"/>
      <c r="F13" s="12"/>
      <c r="G13" s="11"/>
    </row>
    <row r="14">
      <c r="A14" s="11"/>
      <c r="B14" s="12"/>
      <c r="C14" s="11"/>
      <c r="D14" s="5"/>
      <c r="E14" s="17"/>
      <c r="F14" s="12"/>
      <c r="G14" s="11"/>
    </row>
    <row r="15">
      <c r="A15" s="11"/>
      <c r="B15" s="12"/>
      <c r="C15" s="11"/>
      <c r="D15" s="5"/>
      <c r="E15" s="17"/>
      <c r="F15" s="12"/>
      <c r="G15" s="11"/>
    </row>
    <row r="16">
      <c r="A16" s="6" t="s">
        <v>29</v>
      </c>
      <c r="B16" s="12">
        <f>SUM(B3:B10)</f>
        <v>1340.07</v>
      </c>
      <c r="C16" s="11"/>
      <c r="D16" s="5"/>
      <c r="E16" s="6" t="s">
        <v>29</v>
      </c>
      <c r="F16" s="12">
        <f>SUM(F3:F15)</f>
        <v>3408</v>
      </c>
      <c r="G16" s="18">
        <f>SUM(G3:G12)</f>
        <v>170.4</v>
      </c>
    </row>
    <row r="17">
      <c r="A17" s="1" t="s">
        <v>30</v>
      </c>
      <c r="B17" s="2"/>
      <c r="C17" s="2"/>
      <c r="D17" s="2"/>
      <c r="E17" s="3"/>
      <c r="F17" s="7">
        <f>F16-B16</f>
        <v>2067.93</v>
      </c>
      <c r="G17" s="19">
        <f>AVERAGE(G3:G12)</f>
        <v>17.04</v>
      </c>
    </row>
  </sheetData>
  <mergeCells count="3">
    <mergeCell ref="A1:C1"/>
    <mergeCell ref="E1:G1"/>
    <mergeCell ref="A17:E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16</v>
      </c>
      <c r="B1" s="2"/>
      <c r="C1" s="3"/>
      <c r="E1" s="1" t="s">
        <v>17</v>
      </c>
      <c r="F1" s="2"/>
      <c r="G1" s="3"/>
    </row>
    <row r="2">
      <c r="A2" s="15" t="s">
        <v>18</v>
      </c>
      <c r="B2" s="15" t="s">
        <v>19</v>
      </c>
      <c r="C2" s="16"/>
      <c r="E2" s="15" t="s">
        <v>18</v>
      </c>
      <c r="F2" s="15" t="s">
        <v>19</v>
      </c>
      <c r="G2" s="16"/>
    </row>
    <row r="3">
      <c r="A3" s="6" t="s">
        <v>21</v>
      </c>
      <c r="B3" s="7">
        <v>320.0</v>
      </c>
      <c r="C3" s="11"/>
      <c r="D3" s="5"/>
      <c r="E3" s="17">
        <v>45840.0</v>
      </c>
      <c r="F3" s="7">
        <v>300.0</v>
      </c>
      <c r="G3" s="18">
        <f t="shared" ref="G3:G10" si="1">F3/20</f>
        <v>15</v>
      </c>
    </row>
    <row r="4">
      <c r="A4" s="6" t="s">
        <v>22</v>
      </c>
      <c r="B4" s="7">
        <v>466.11</v>
      </c>
      <c r="C4" s="11"/>
      <c r="D4" s="5"/>
      <c r="E4" s="17">
        <v>45841.0</v>
      </c>
      <c r="F4" s="7">
        <v>75.0</v>
      </c>
      <c r="G4" s="18">
        <f t="shared" si="1"/>
        <v>3.75</v>
      </c>
    </row>
    <row r="5">
      <c r="A5" s="6" t="s">
        <v>23</v>
      </c>
      <c r="B5" s="7">
        <v>223.0</v>
      </c>
      <c r="C5" s="11"/>
      <c r="D5" s="5"/>
      <c r="E5" s="17">
        <v>45842.0</v>
      </c>
      <c r="F5" s="7">
        <v>20.0</v>
      </c>
      <c r="G5" s="18">
        <f t="shared" si="1"/>
        <v>1</v>
      </c>
    </row>
    <row r="6">
      <c r="A6" s="6" t="s">
        <v>24</v>
      </c>
      <c r="B6" s="7">
        <v>0.0</v>
      </c>
      <c r="C6" s="11"/>
      <c r="D6" s="5"/>
      <c r="E6" s="17">
        <v>45843.0</v>
      </c>
      <c r="F6" s="7">
        <v>40.0</v>
      </c>
      <c r="G6" s="18">
        <f t="shared" si="1"/>
        <v>2</v>
      </c>
    </row>
    <row r="7">
      <c r="A7" s="6"/>
      <c r="B7" s="7"/>
      <c r="C7" s="11"/>
      <c r="D7" s="5"/>
      <c r="E7" s="17">
        <v>45844.0</v>
      </c>
      <c r="F7" s="7">
        <v>335.0</v>
      </c>
      <c r="G7" s="18">
        <f t="shared" si="1"/>
        <v>16.75</v>
      </c>
    </row>
    <row r="8">
      <c r="A8" s="6" t="s">
        <v>26</v>
      </c>
      <c r="B8" s="7">
        <v>72.57</v>
      </c>
      <c r="C8" s="11"/>
      <c r="D8" s="5"/>
      <c r="E8" s="17">
        <v>45851.0</v>
      </c>
      <c r="F8" s="7">
        <v>40.0</v>
      </c>
      <c r="G8" s="18">
        <f t="shared" si="1"/>
        <v>2</v>
      </c>
    </row>
    <row r="9">
      <c r="A9" s="6" t="s">
        <v>27</v>
      </c>
      <c r="B9" s="7">
        <v>78.0</v>
      </c>
      <c r="C9" s="11"/>
      <c r="D9" s="5"/>
      <c r="E9" s="17">
        <v>45858.0</v>
      </c>
      <c r="F9" s="7">
        <v>2705.0</v>
      </c>
      <c r="G9" s="18">
        <f t="shared" si="1"/>
        <v>135.25</v>
      </c>
    </row>
    <row r="10">
      <c r="A10" s="6" t="s">
        <v>28</v>
      </c>
      <c r="B10" s="7">
        <v>256.59</v>
      </c>
      <c r="C10" s="11"/>
      <c r="D10" s="5"/>
      <c r="E10" s="17">
        <v>45865.0</v>
      </c>
      <c r="F10" s="7">
        <v>530.0</v>
      </c>
      <c r="G10" s="18">
        <f t="shared" si="1"/>
        <v>26.5</v>
      </c>
    </row>
    <row r="11">
      <c r="A11" s="6" t="s">
        <v>32</v>
      </c>
      <c r="B11" s="7">
        <v>73.9</v>
      </c>
      <c r="C11" s="11"/>
      <c r="D11" s="5"/>
      <c r="E11" s="17"/>
      <c r="F11" s="7"/>
      <c r="G11" s="11"/>
    </row>
    <row r="12">
      <c r="A12" s="6" t="s">
        <v>33</v>
      </c>
      <c r="B12" s="7">
        <v>99.8</v>
      </c>
      <c r="C12" s="11"/>
      <c r="D12" s="5"/>
      <c r="E12" s="17"/>
      <c r="F12" s="7"/>
      <c r="G12" s="11"/>
    </row>
    <row r="13">
      <c r="A13" s="11"/>
      <c r="B13" s="12"/>
      <c r="C13" s="11"/>
      <c r="D13" s="5"/>
      <c r="E13" s="17"/>
      <c r="F13" s="7"/>
      <c r="G13" s="11"/>
    </row>
    <row r="14">
      <c r="A14" s="11"/>
      <c r="B14" s="12"/>
      <c r="C14" s="11"/>
      <c r="D14" s="5"/>
      <c r="E14" s="17"/>
      <c r="F14" s="12"/>
      <c r="G14" s="11"/>
    </row>
    <row r="15">
      <c r="A15" s="11"/>
      <c r="B15" s="12"/>
      <c r="C15" s="11"/>
      <c r="D15" s="5"/>
      <c r="E15" s="17"/>
      <c r="F15" s="12"/>
      <c r="G15" s="11"/>
    </row>
    <row r="16">
      <c r="A16" s="6" t="s">
        <v>29</v>
      </c>
      <c r="B16" s="12">
        <f>SUM(B3:B10)</f>
        <v>1416.27</v>
      </c>
      <c r="C16" s="11"/>
      <c r="D16" s="5"/>
      <c r="E16" s="6" t="s">
        <v>29</v>
      </c>
      <c r="F16" s="12">
        <f>SUM(F3:F10)</f>
        <v>4045</v>
      </c>
      <c r="G16" s="18">
        <f>SUM(G3:G9)</f>
        <v>175.75</v>
      </c>
    </row>
    <row r="17">
      <c r="A17" s="1" t="s">
        <v>30</v>
      </c>
      <c r="B17" s="2"/>
      <c r="C17" s="2"/>
      <c r="D17" s="2"/>
      <c r="E17" s="3"/>
      <c r="F17" s="7">
        <f>F16-B16</f>
        <v>2628.73</v>
      </c>
      <c r="G17" s="19">
        <f>AVERAGE(G3:G10)</f>
        <v>25.28125</v>
      </c>
    </row>
  </sheetData>
  <mergeCells count="3">
    <mergeCell ref="A1:C1"/>
    <mergeCell ref="E1:G1"/>
    <mergeCell ref="A17:E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16</v>
      </c>
      <c r="B1" s="2"/>
      <c r="C1" s="3"/>
      <c r="E1" s="1" t="s">
        <v>17</v>
      </c>
      <c r="F1" s="2"/>
      <c r="G1" s="3"/>
    </row>
    <row r="2">
      <c r="A2" s="15" t="s">
        <v>18</v>
      </c>
      <c r="B2" s="15" t="s">
        <v>19</v>
      </c>
      <c r="C2" s="16"/>
      <c r="E2" s="15" t="s">
        <v>18</v>
      </c>
      <c r="F2" s="15" t="s">
        <v>19</v>
      </c>
      <c r="G2" s="16"/>
    </row>
    <row r="3">
      <c r="A3" s="6" t="s">
        <v>21</v>
      </c>
      <c r="B3" s="7">
        <v>320.0</v>
      </c>
      <c r="C3" s="11"/>
      <c r="D3" s="5"/>
      <c r="E3" s="17">
        <v>45871.0</v>
      </c>
      <c r="F3" s="7">
        <v>120.0</v>
      </c>
      <c r="G3" s="18">
        <f t="shared" ref="G3:G10" si="1">F3/20</f>
        <v>6</v>
      </c>
    </row>
    <row r="4">
      <c r="A4" s="6" t="s">
        <v>22</v>
      </c>
      <c r="B4" s="7">
        <v>466.11</v>
      </c>
      <c r="C4" s="11"/>
      <c r="D4" s="5"/>
      <c r="E4" s="17">
        <v>45878.0</v>
      </c>
      <c r="F4" s="7">
        <v>1955.0</v>
      </c>
      <c r="G4" s="18">
        <f t="shared" si="1"/>
        <v>97.75</v>
      </c>
    </row>
    <row r="5">
      <c r="A5" s="6" t="s">
        <v>23</v>
      </c>
      <c r="B5" s="7">
        <v>565.0</v>
      </c>
      <c r="C5" s="11"/>
      <c r="D5" s="5"/>
      <c r="E5" s="17">
        <v>45879.0</v>
      </c>
      <c r="F5" s="7">
        <v>40.0</v>
      </c>
      <c r="G5" s="18">
        <f t="shared" si="1"/>
        <v>2</v>
      </c>
    </row>
    <row r="6">
      <c r="A6" s="6" t="s">
        <v>24</v>
      </c>
      <c r="B6" s="7">
        <v>565.0</v>
      </c>
      <c r="C6" s="11"/>
      <c r="D6" s="5"/>
      <c r="E6" s="20">
        <v>45883.0</v>
      </c>
      <c r="F6" s="7">
        <v>715.0</v>
      </c>
      <c r="G6" s="18">
        <f t="shared" si="1"/>
        <v>35.75</v>
      </c>
    </row>
    <row r="7">
      <c r="A7" s="6"/>
      <c r="B7" s="7"/>
      <c r="C7" s="11"/>
      <c r="D7" s="5"/>
      <c r="E7" s="17">
        <v>45884.0</v>
      </c>
      <c r="F7" s="7">
        <v>5485.0</v>
      </c>
      <c r="G7" s="18">
        <f t="shared" si="1"/>
        <v>274.25</v>
      </c>
    </row>
    <row r="8">
      <c r="A8" s="6" t="s">
        <v>26</v>
      </c>
      <c r="B8" s="7">
        <v>72.57</v>
      </c>
      <c r="C8" s="11"/>
      <c r="D8" s="5"/>
      <c r="E8" s="17">
        <v>45885.0</v>
      </c>
      <c r="F8" s="7">
        <v>670.0</v>
      </c>
      <c r="G8" s="18">
        <f t="shared" si="1"/>
        <v>33.5</v>
      </c>
      <c r="H8" s="21">
        <v>26.0</v>
      </c>
    </row>
    <row r="9">
      <c r="A9" s="6" t="s">
        <v>27</v>
      </c>
      <c r="B9" s="7">
        <v>78.0</v>
      </c>
      <c r="C9" s="11"/>
      <c r="D9" s="5"/>
      <c r="E9" s="17">
        <v>45886.0</v>
      </c>
      <c r="F9" s="7">
        <v>275.0</v>
      </c>
      <c r="G9" s="18">
        <f t="shared" si="1"/>
        <v>13.75</v>
      </c>
    </row>
    <row r="10">
      <c r="A10" s="6" t="s">
        <v>28</v>
      </c>
      <c r="B10" s="7">
        <v>256.59</v>
      </c>
      <c r="C10" s="11"/>
      <c r="D10" s="5"/>
      <c r="E10" s="17">
        <v>45888.0</v>
      </c>
      <c r="F10" s="7">
        <v>80.0</v>
      </c>
      <c r="G10" s="18">
        <f t="shared" si="1"/>
        <v>4</v>
      </c>
    </row>
    <row r="11">
      <c r="A11" s="11"/>
      <c r="B11" s="12"/>
      <c r="C11" s="11"/>
      <c r="D11" s="5"/>
      <c r="E11" s="17"/>
      <c r="F11" s="12"/>
      <c r="G11" s="11"/>
    </row>
    <row r="12">
      <c r="A12" s="11"/>
      <c r="B12" s="12"/>
      <c r="C12" s="11"/>
      <c r="D12" s="5"/>
      <c r="E12" s="17"/>
      <c r="F12" s="12"/>
      <c r="G12" s="11"/>
    </row>
    <row r="13">
      <c r="A13" s="11"/>
      <c r="B13" s="12"/>
      <c r="C13" s="11"/>
      <c r="D13" s="5"/>
      <c r="E13" s="17"/>
      <c r="F13" s="12"/>
      <c r="G13" s="11"/>
    </row>
    <row r="14">
      <c r="A14" s="11"/>
      <c r="B14" s="12"/>
      <c r="C14" s="11"/>
      <c r="D14" s="5"/>
      <c r="E14" s="17"/>
      <c r="F14" s="12"/>
      <c r="G14" s="11"/>
    </row>
    <row r="15">
      <c r="A15" s="11"/>
      <c r="B15" s="12"/>
      <c r="C15" s="11"/>
      <c r="D15" s="5"/>
      <c r="E15" s="17"/>
      <c r="F15" s="12"/>
      <c r="G15" s="11"/>
    </row>
    <row r="16">
      <c r="A16" s="6" t="s">
        <v>29</v>
      </c>
      <c r="B16" s="12">
        <f>SUM(B3:B10)</f>
        <v>2323.27</v>
      </c>
      <c r="C16" s="11"/>
      <c r="D16" s="5"/>
      <c r="E16" s="6" t="s">
        <v>29</v>
      </c>
      <c r="F16" s="12">
        <f>SUM(F3:F10)</f>
        <v>9340</v>
      </c>
      <c r="G16" s="18">
        <f>SUM(G3:G9)</f>
        <v>463</v>
      </c>
    </row>
    <row r="17">
      <c r="A17" s="1" t="s">
        <v>30</v>
      </c>
      <c r="B17" s="2"/>
      <c r="C17" s="2"/>
      <c r="D17" s="2"/>
      <c r="E17" s="3"/>
      <c r="F17" s="7">
        <f>F16-B16</f>
        <v>7016.73</v>
      </c>
      <c r="G17" s="19">
        <f>AVERAGE(G3:G10)</f>
        <v>58.375</v>
      </c>
    </row>
    <row r="22">
      <c r="B22" s="21">
        <v>0.5</v>
      </c>
      <c r="C22" s="21">
        <v>1.0</v>
      </c>
      <c r="D22" s="21">
        <v>2.0</v>
      </c>
      <c r="E22" s="21">
        <v>5.0</v>
      </c>
      <c r="F22" s="21">
        <v>10.0</v>
      </c>
      <c r="G22" s="21">
        <v>20.0</v>
      </c>
      <c r="H22" s="21">
        <v>50.0</v>
      </c>
      <c r="I22" s="21">
        <v>100.0</v>
      </c>
      <c r="J22" s="21">
        <v>200.0</v>
      </c>
      <c r="K22" s="21" t="s">
        <v>34</v>
      </c>
      <c r="L22" s="21" t="s">
        <v>35</v>
      </c>
      <c r="N22" s="21">
        <v>0.5</v>
      </c>
      <c r="O22" s="21">
        <v>1.0</v>
      </c>
      <c r="P22" s="21">
        <v>2.0</v>
      </c>
      <c r="Q22" s="21">
        <v>5.0</v>
      </c>
      <c r="R22" s="21">
        <v>10.0</v>
      </c>
      <c r="S22" s="21">
        <v>20.0</v>
      </c>
      <c r="T22" s="21">
        <v>50.0</v>
      </c>
      <c r="U22" s="21">
        <v>100.0</v>
      </c>
      <c r="V22" s="21">
        <v>200.0</v>
      </c>
      <c r="W22" s="21" t="s">
        <v>34</v>
      </c>
      <c r="X22" s="21" t="s">
        <v>35</v>
      </c>
    </row>
    <row r="23">
      <c r="A23" s="22">
        <v>45883.0</v>
      </c>
      <c r="K23" s="21">
        <v>2135.0</v>
      </c>
      <c r="M23" s="23">
        <f t="shared" ref="M23:N23" si="2">A23</f>
        <v>45883</v>
      </c>
      <c r="N23" s="24" t="str">
        <f t="shared" si="2"/>
        <v/>
      </c>
    </row>
    <row r="24">
      <c r="A24" s="22">
        <v>45884.0</v>
      </c>
    </row>
    <row r="26">
      <c r="G26" s="25"/>
    </row>
  </sheetData>
  <mergeCells count="3">
    <mergeCell ref="A1:C1"/>
    <mergeCell ref="E1:G1"/>
    <mergeCell ref="A17:E17"/>
  </mergeCells>
  <drawing r:id="rId1"/>
</worksheet>
</file>